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Development\saltallthethings-site\"/>
    </mc:Choice>
  </mc:AlternateContent>
  <xr:revisionPtr revIDLastSave="0" documentId="13_ncr:1_{5CE57DD6-9DC8-4D77-AC9C-A2A3BA0CFA2B}" xr6:coauthVersionLast="47" xr6:coauthVersionMax="47" xr10:uidLastSave="{00000000-0000-0000-0000-000000000000}"/>
  <bookViews>
    <workbookView xWindow="25095" yWindow="21930" windowWidth="29040" windowHeight="15990" xr2:uid="{B9F1127E-D808-4360-BFD7-6A6A176C932F}"/>
  </bookViews>
  <sheets>
    <sheet name="Sheet1" sheetId="1" r:id="rId1"/>
  </sheets>
  <definedNames>
    <definedName name="Child_Issue">Sheet1!$A$29</definedName>
    <definedName name="Child_Issues">Sheet1!$A$5:$A$28</definedName>
    <definedName name="Feature_Branch">Sheet1!$B$3</definedName>
    <definedName name="Parent_Issue">Sheet1!$A$3</definedName>
    <definedName name="Promote">Sheet1!$B$7</definedName>
    <definedName name="Release">Sheet1!$B$9</definedName>
    <definedName name="Release_Notes">Sheet1!$B$5</definedName>
    <definedName name="Release_Type">Sheet1!$B$11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 l="1"/>
  <c r="D9" i="1"/>
  <c r="D4" i="1"/>
  <c r="D2" i="1"/>
  <c r="D16" i="1"/>
  <c r="D5" i="1"/>
  <c r="A29" i="1"/>
</calcChain>
</file>

<file path=xl/sharedStrings.xml><?xml version="1.0" encoding="utf-8"?>
<sst xmlns="http://schemas.openxmlformats.org/spreadsheetml/2006/main" count="28" uniqueCount="27">
  <si>
    <t>Feature Branch</t>
  </si>
  <si>
    <t>Promote</t>
  </si>
  <si>
    <t>Prompt</t>
  </si>
  <si>
    <t>N</t>
  </si>
  <si>
    <t>Release</t>
  </si>
  <si>
    <t>Release Notes Cont'd?</t>
  </si>
  <si>
    <t>Release Type</t>
  </si>
  <si>
    <t>Patch</t>
  </si>
  <si>
    <t>Minor</t>
  </si>
  <si>
    <t>Major</t>
  </si>
  <si>
    <t>a shared feature branch from main named codex/&lt;parent-issue-title-slug&gt;</t>
  </si>
  <si>
    <t>create for the first child and update cumulatively for every later child</t>
  </si>
  <si>
    <t>Options</t>
  </si>
  <si>
    <t>Issue #s</t>
  </si>
  <si>
    <t>Parent</t>
  </si>
  <si>
    <t>Children</t>
  </si>
  <si>
    <t>0.0.1</t>
  </si>
  <si>
    <t>Add or update the narrowest useful automated tests for the child, then run the complete safe validation applicable to the change. Database-backed tests must use an explicitly configured isolated TEST_DATABASE_URL and must never fall back to production. Mock AI providers, Google Drive, and other external services unless an authorized environment smoke test explicitly requires them. Validate migrations against a fresh isolated database when schema behavior changes, and add static or browser-level coverage when frontend behavior or environment configuration changes.</t>
  </si>
  <si>
    <t>Before requesting child approval, run the repository’s complete local equivalent of pull-request validation, including safe unit and database tests, migration validation, static or browser checks, and lint or formatting checks when configured. Build and inspect the production container when the change can affect packaging or runtime behavior. Commit the child as a focused commit, push the shared branch, and create or update its single draft pull request. Verify pull-request validation is green, manually deploy that exact branch commit through deploy-dev.yml, and verify the development environment reports the expected environment, version, and commit. Fix every local, CI, migration, build, deployment, or smoke-test failure before handing off the child.</t>
  </si>
  <si>
    <t>Give me a numbered, child-specific development testing checklist using https://dev.saltallthethings.com whenever runtime behavior is affected. Identify the expected commit and version; confirm the site reports itself as development; exercise the exact acceptance behavior and expected results; test relevant public pages, authentication, API routes, persistence, migrations, and post-production behavior; reload and repeat important checks; and verify that the change cannot use production APIs, databases, credentials, or Drive resources. Include rollback or recovery checks when the child changes data, migrations, configuration, containers, or deployment behavior.</t>
  </si>
  <si>
    <t>When development integration passes, update the cumulative draft pull request, link the parent and every child, include the version, curated release notes, migrations, automated evidence, development deployment commit, manual results, rollback information, and known limitations, and mark it ready for review. Verify pull-request validation is green and wait for my explicit approval. After I approve merging, merge the pull request to main, verify the exact merge commit, and confirm deploy-test.yml deploys that commit to isolated test. Verify test reports the expected environment, version, and commit; run migrations and the complete test smoke checklist; record the evidence; then stop and wait for explicit production-release approval.</t>
  </si>
  <si>
    <t>Before changing anything, read either AGENTS.md or CLAUDE.md as the repository entry point, then read every canonical reference it requires. Inspect git status, the current branch, remotes, upstream main, tags, GitHub Releases, open pull requests, the authoritative application version, release notes and template, migrations, container and compose definitions, and every validation and deployment workflow. Read the parent, milestone, every selected child, and their dependencies. Preserve unrelated work and never modify src/sv_common/. Never expose secrets, secret-bearing configuration, database URLs, or real credentials; verify secrets only by configured status, presence, or one-way SHA-256 fingerprint. Do not guess requirements or change servers, DNS, GitHub environments, repository secrets, or production without explicit authorization.</t>
  </si>
  <si>
    <t>Work exactly one approved child at a time and follow the selected order and dependency gates. Do not begin the next child until I explicitly approve the current child. If discovery, decomposition, or a changed external constraint reveals necessary work that belongs to the same parent, propose a new explicit child with its reason, scope, acceptance criteria, dependencies, delivery-slice and release impact, and required approval; do not hide it in an unrelated child or create a new parent solely to preserve the original child list. Child approval authorizes advancement only to the next approved child; it does not authorize material scope expansion, merging to main, deploying test, creating a production tag, or deploying production.</t>
  </si>
  <si>
    <t>At the start of each child, restate its acceptance criteria and move it to In progress. Inspect the relevant plain HTML, CSS, and JavaScript; FastAPI routes and services; SQLAlchemy models and serializers; Alembic migrations; tests; container definitions; and delivery workflows before implementing. Keep frontend and backend behavior compatible and promotable from the same immutable commit. Preserve environment and database isolation, keep AI and OAuth credentials server-side, and do not modify src/sv_common/.</t>
  </si>
  <si>
    <t>For the child handoff, summarize the implemented behavior, important files changed, migrations or data-contract changes, local test results, pull-request validation, development deployment commit, development smoke-test results, release-note changes, risks, accepted limitations, rollback considerations, and everything I need to inspect manually. Move the child to In review, then stop and wait for my explicit approval.</t>
  </si>
  <si>
    <t>If I report a failed manual check, remain on the same child. Diagnose and fix it, update tests and release notes, rerun local and pull-request validation, redeploy the corrected commit to development, and give me a revised checklist. If I approve the child, add its implementation, automated-test, CI, development-deployment, and manual-test evidence to the issue; move or close it as Done when appropriate; update the parent with cumulative progress and remaining or later children; and only then begin the next approved child. If newly discovered necessary work belongs to the parent, document and seek approval for a new explicit child before implementing the expanded scope.</t>
  </si>
  <si>
    <t>After production is verified, update every child in the delivery slice and the parent with the shipped behavior, automated and manual validation, development and test evidence, pull request, exact commit, production tag, deployment result, GitHub Release, migrations, rollback status, limitations, and follow-up work. Close the parent only when its current definition of done is satisfied; clearly identified later children may remain under a durable parent for another slice or release. Close the milestone only when its entire scope is complete. If production promotion was declined, leave the parent and milestone in the appropriate tested-but-not-shipped state instead of describing the work as released.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</si>
</sst>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8"/>
      <color theme="1"/>
      <name val="Arial"/>
      <family val="2"/>
    </font>
    <font>
      <sz val="8"/>
      <color theme="1"/>
      <name val="Arial"/>
      <family val="2"/>
    </font>
    <font>
      <b/>
      <i/>
      <sz val="8"/>
      <color theme="1"/>
      <name val="Arial"/>
      <family val="2"/>
    </font>
    <font>
      <sz val="8"/>
      <color rgb="FFFF0000"/>
      <name val="Arial"/>
      <family val="2"/>
    </font>
    <font>
      <sz val="8"/>
      <name val="Arial"/>
      <family val="2"/>
    </font>
    <font>
      <sz val="8"/>
      <color theme="0"/>
      <name val="Arial"/>
      <family val="2"/>
    </font>
  </fonts>
  <fills count="2">
    <fill>
      <patternFill patternType="none"/>
    </fill>
    <fill>
      <patternFill patternType="gray125"/>
    </fill>
  </fills>
  <borders count="16">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theme="1"/>
      </left>
      <right style="medium">
        <color theme="1"/>
      </right>
      <top style="medium">
        <color theme="1"/>
      </top>
      <bottom style="thin">
        <color theme="0"/>
      </bottom>
      <diagonal/>
    </border>
    <border>
      <left style="medium">
        <color theme="1"/>
      </left>
      <right style="medium">
        <color theme="1"/>
      </right>
      <top style="thin">
        <color theme="0"/>
      </top>
      <bottom/>
      <diagonal/>
    </border>
    <border>
      <left style="medium">
        <color auto="1"/>
      </left>
      <right style="medium">
        <color auto="1"/>
      </right>
      <top style="medium">
        <color auto="1"/>
      </top>
      <bottom style="thin">
        <color theme="0"/>
      </bottom>
      <diagonal/>
    </border>
    <border>
      <left style="medium">
        <color auto="1"/>
      </left>
      <right style="medium">
        <color auto="1"/>
      </right>
      <top style="thin">
        <color theme="0"/>
      </top>
      <bottom style="medium">
        <color auto="1"/>
      </bottom>
      <diagonal/>
    </border>
    <border>
      <left/>
      <right style="medium">
        <color auto="1"/>
      </right>
      <top style="medium">
        <color auto="1"/>
      </top>
      <bottom style="thin">
        <color theme="0"/>
      </bottom>
      <diagonal/>
    </border>
    <border>
      <left/>
      <right style="medium">
        <color auto="1"/>
      </right>
      <top style="thin">
        <color theme="0"/>
      </top>
      <bottom/>
      <diagonal/>
    </border>
    <border>
      <left/>
      <right style="medium">
        <color theme="1"/>
      </right>
      <top style="medium">
        <color theme="1"/>
      </top>
      <bottom style="thin">
        <color theme="0"/>
      </bottom>
      <diagonal/>
    </border>
    <border>
      <left/>
      <right style="medium">
        <color theme="1"/>
      </right>
      <top style="thin">
        <color theme="0"/>
      </top>
      <bottom style="medium">
        <color theme="1"/>
      </bottom>
      <diagonal/>
    </border>
    <border>
      <left/>
      <right style="medium">
        <color theme="1"/>
      </right>
      <top style="thin">
        <color theme="0"/>
      </top>
      <bottom style="thin">
        <color theme="0"/>
      </bottom>
      <diagonal/>
    </border>
    <border>
      <left/>
      <right style="thin">
        <color theme="0"/>
      </right>
      <top/>
      <bottom style="thin">
        <color theme="0"/>
      </bottom>
      <diagonal/>
    </border>
    <border>
      <left style="medium">
        <color auto="1"/>
      </left>
      <right style="medium">
        <color auto="1"/>
      </right>
      <top style="thin">
        <color theme="0"/>
      </top>
      <bottom style="thin">
        <color theme="0"/>
      </bottom>
      <diagonal/>
    </border>
  </borders>
  <cellStyleXfs count="1">
    <xf numFmtId="0" fontId="0" fillId="0" borderId="0"/>
  </cellStyleXfs>
  <cellXfs count="26">
    <xf numFmtId="0" fontId="0" fillId="0" borderId="0" xfId="0"/>
    <xf numFmtId="0" fontId="0" fillId="0" borderId="1" xfId="0" applyBorder="1"/>
    <xf numFmtId="0" fontId="2" fillId="0" borderId="1" xfId="0" applyFont="1" applyBorder="1"/>
    <xf numFmtId="0" fontId="1" fillId="0" borderId="1" xfId="0" applyFont="1" applyBorder="1" applyAlignment="1">
      <alignment horizontal="center" wrapText="1"/>
    </xf>
    <xf numFmtId="0" fontId="2" fillId="0" borderId="1" xfId="0" applyFont="1" applyBorder="1" applyAlignment="1">
      <alignment horizontal="center"/>
    </xf>
    <xf numFmtId="0" fontId="2" fillId="0" borderId="2" xfId="0" applyFont="1" applyBorder="1"/>
    <xf numFmtId="0" fontId="1" fillId="0" borderId="3" xfId="0" applyFont="1" applyBorder="1" applyAlignment="1">
      <alignment horizontal="center" textRotation="90"/>
    </xf>
    <xf numFmtId="0" fontId="3" fillId="0" borderId="5" xfId="0" applyFont="1" applyBorder="1" applyAlignment="1">
      <alignment horizontal="center"/>
    </xf>
    <xf numFmtId="0" fontId="5" fillId="0" borderId="6" xfId="0" applyFont="1" applyBorder="1" applyAlignment="1">
      <alignment horizontal="center" wrapText="1"/>
    </xf>
    <xf numFmtId="0" fontId="3" fillId="0" borderId="7" xfId="0" applyFont="1" applyBorder="1" applyAlignment="1">
      <alignment horizontal="center"/>
    </xf>
    <xf numFmtId="0" fontId="3" fillId="0" borderId="9" xfId="0" applyFont="1" applyBorder="1" applyAlignment="1">
      <alignment horizontal="center"/>
    </xf>
    <xf numFmtId="0" fontId="5" fillId="0" borderId="10" xfId="0" applyFont="1" applyBorder="1" applyAlignment="1">
      <alignment horizontal="center" wrapText="1"/>
    </xf>
    <xf numFmtId="0" fontId="3" fillId="0" borderId="11" xfId="0" applyFont="1" applyBorder="1" applyAlignment="1">
      <alignment horizontal="center"/>
    </xf>
    <xf numFmtId="0" fontId="5" fillId="0" borderId="12" xfId="0" applyFont="1" applyBorder="1" applyAlignment="1">
      <alignment horizontal="center"/>
    </xf>
    <xf numFmtId="0" fontId="4" fillId="0" borderId="13" xfId="0" applyFont="1" applyBorder="1" applyAlignment="1">
      <alignment horizontal="center"/>
    </xf>
    <xf numFmtId="0" fontId="2" fillId="0" borderId="13" xfId="0" applyFont="1" applyBorder="1" applyAlignment="1">
      <alignment horizontal="center"/>
    </xf>
    <xf numFmtId="0" fontId="2" fillId="0" borderId="12" xfId="0" applyFont="1" applyBorder="1" applyAlignment="1">
      <alignment horizontal="center"/>
    </xf>
    <xf numFmtId="0" fontId="2" fillId="0" borderId="14" xfId="0" applyFont="1" applyBorder="1" applyAlignment="1">
      <alignment horizontal="center"/>
    </xf>
    <xf numFmtId="0" fontId="2" fillId="0" borderId="2" xfId="0" applyFont="1" applyBorder="1" applyAlignment="1">
      <alignment horizontal="center"/>
    </xf>
    <xf numFmtId="0" fontId="2" fillId="0" borderId="6" xfId="0" applyFont="1" applyBorder="1" applyAlignment="1">
      <alignment horizontal="center"/>
    </xf>
    <xf numFmtId="0" fontId="5" fillId="0" borderId="15" xfId="0" applyFont="1" applyBorder="1" applyAlignment="1">
      <alignment horizontal="center"/>
    </xf>
    <xf numFmtId="0" fontId="5" fillId="0" borderId="8" xfId="0" applyFont="1" applyBorder="1" applyAlignment="1">
      <alignment horizontal="center"/>
    </xf>
    <xf numFmtId="0" fontId="6" fillId="0" borderId="4" xfId="0" applyFont="1" applyBorder="1" applyAlignment="1">
      <alignment horizontal="center"/>
    </xf>
    <xf numFmtId="0" fontId="4" fillId="0" borderId="1" xfId="0" applyFont="1" applyBorder="1" applyAlignment="1">
      <alignment horizontal="left" vertical="top" wrapText="1"/>
    </xf>
    <xf numFmtId="0" fontId="2" fillId="0" borderId="1" xfId="0" applyFont="1" applyBorder="1" applyAlignment="1">
      <alignment horizontal="left" vertical="top" wrapText="1"/>
    </xf>
    <xf numFmtId="0" fontId="5"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F4FE2-04EC-4D77-B28F-6C7284D2F711}">
  <dimension ref="A1:D29"/>
  <sheetViews>
    <sheetView tabSelected="1" workbookViewId="0">
      <selection activeCell="D18" sqref="D18"/>
    </sheetView>
  </sheetViews>
  <sheetFormatPr defaultRowHeight="15" x14ac:dyDescent="0.25"/>
  <cols>
    <col min="1" max="1" width="8.42578125" style="4" bestFit="1" customWidth="1"/>
    <col min="2" max="2" width="53.28515625" style="4" bestFit="1" customWidth="1"/>
    <col min="3" max="3" width="9.140625" style="2"/>
    <col min="4" max="4" width="193" style="24" customWidth="1"/>
    <col min="5" max="16384" width="9.140625" style="1"/>
  </cols>
  <sheetData>
    <row r="1" spans="1:4" ht="41.25" thickBot="1" x14ac:dyDescent="0.3">
      <c r="A1" s="6" t="s">
        <v>13</v>
      </c>
      <c r="B1" s="6" t="s">
        <v>12</v>
      </c>
      <c r="D1" s="3" t="s">
        <v>2</v>
      </c>
    </row>
    <row r="2" spans="1:4" ht="22.5" x14ac:dyDescent="0.25">
      <c r="A2" s="7" t="s">
        <v>14</v>
      </c>
      <c r="B2" s="7" t="s">
        <v>0</v>
      </c>
      <c r="C2" s="5"/>
      <c r="D2" s="23" t="str">
        <f>"Review parent issue #"&amp;Parent_Issue&amp;", its milestone, and these child issues in the selected delivery-slice order: #"&amp;Child_Issue&amp;". The parent and milestone provide durable context; each child is a separate implementation scope. The target version for this delivery slice is "&amp;Release&amp;" ("&amp;Release_Type&amp;"). Follow the repository delivery contract: the shared slice branch deploys to isolated development, an explicitly approved main commit deploys to isolated test, and only a separately approved prod-v"&amp;Release&amp;" tag deploys production."</f>
        <v>Review parent issue #3, its milestone, and these child issues in the selected delivery-slice order: #4, #5, #6, #7, #8, #9, #10, #11, #12, #13, #14, #15. The parent and milestone provide durable context; each child is a separate implementation scope. The target version for this delivery slice is 0.0.1 (Patch). Follow the repository delivery contract: the shared slice branch deploys to isolated development, an explicitly approved main commit deploys to isolated test, and only a separately approved prod-v0.0.1 tag deploys production.</v>
      </c>
    </row>
    <row r="3" spans="1:4" ht="45.75" thickBot="1" x14ac:dyDescent="0.3">
      <c r="A3" s="19">
        <v>3</v>
      </c>
      <c r="B3" s="8" t="s">
        <v>10</v>
      </c>
      <c r="C3" s="5"/>
      <c r="D3" s="24" t="s">
        <v>21</v>
      </c>
    </row>
    <row r="4" spans="1:4" ht="22.5" x14ac:dyDescent="0.25">
      <c r="A4" s="9" t="s">
        <v>15</v>
      </c>
      <c r="B4" s="10" t="s">
        <v>5</v>
      </c>
      <c r="C4" s="5"/>
      <c r="D4" s="23" t="str">
        <f>"Use "&amp;Feature_Branch&amp;_xlfn._LONGTEXT(". Create it from an up-to-date main branch only when beginning the first child in the current delivery slice. Reuse that branch and one cumulative draft pull request for every selected child in the slice. A parent may use a later branch for a later slice ","or release. Do not create a branch per child, discard unrelated working-tree changes, or merge without explicit approval.")</f>
        <v>Use a shared feature branch from main named codex/&lt;parent-issue-title-slug&gt;. Create it from an up-to-date main branch only when beginning the first child in the current delivery slice. Reuse that branch and one cumulative draft pull request for every selected child in the slice. A parent may use a later branch for a later slice or release. Do not create a branch per child, discard unrelated working-tree changes, or merge without explicit approval.</v>
      </c>
    </row>
    <row r="5" spans="1:4" ht="23.25" thickBot="1" x14ac:dyDescent="0.3">
      <c r="A5" s="20">
        <v>4</v>
      </c>
      <c r="B5" s="11" t="s">
        <v>11</v>
      </c>
      <c r="C5" s="5"/>
      <c r="D5" s="23" t="str">
        <f>"For the first child only, set the authoritative application version to "&amp;Release&amp;" and create docs/releases/"&amp;Release&amp;".md from the repository template. Confirm that prod-v"&amp;Release&amp;" and the matching GitHub Release do not already represent a different release. Keep the authoritative version, health/version metadata, release-note filename, and release-note heading synchronized."</f>
        <v>For the first child only, set the authoritative application version to 0.0.1 and create docs/releases/0.0.1.md from the repository template. Confirm that prod-v0.0.1 and the matching GitHub Release do not already represent a different release. Keep the authoritative version, health/version metadata, release-note filename, and release-note heading synchronized.</v>
      </c>
    </row>
    <row r="6" spans="1:4" ht="33.75" x14ac:dyDescent="0.25">
      <c r="A6" s="20">
        <v>5</v>
      </c>
      <c r="B6" s="12" t="s">
        <v>1</v>
      </c>
      <c r="C6" s="5"/>
      <c r="D6" s="24" t="s">
        <v>22</v>
      </c>
    </row>
    <row r="7" spans="1:4" ht="23.25" thickBot="1" x14ac:dyDescent="0.3">
      <c r="A7" s="20">
        <v>6</v>
      </c>
      <c r="B7" s="13" t="s">
        <v>3</v>
      </c>
      <c r="C7" s="5"/>
      <c r="D7" s="25" t="s">
        <v>23</v>
      </c>
    </row>
    <row r="8" spans="1:4" ht="33.75" x14ac:dyDescent="0.25">
      <c r="A8" s="20">
        <v>7</v>
      </c>
      <c r="B8" s="12" t="s">
        <v>4</v>
      </c>
      <c r="C8" s="5"/>
      <c r="D8" s="24" t="s">
        <v>17</v>
      </c>
    </row>
    <row r="9" spans="1:4" ht="23.25" thickBot="1" x14ac:dyDescent="0.3">
      <c r="A9" s="20">
        <v>8</v>
      </c>
      <c r="B9" s="13" t="s">
        <v>16</v>
      </c>
      <c r="C9" s="5"/>
      <c r="D9" s="23" t="str">
        <f>"After each child, follow this release-notes rule: "&amp;Release_Notes&amp;". Update docs/releases/"&amp;Release&amp;_xlfn._LONGTEXT(".md only after inspecting the actual diff and validation evidence. Preserve valid notes from earlier children and maintain the required Highlights, Fixes/Changes, Validation, Deployment/Migrations, Rollback, and Known Limitations sections. Document shippe","d behavior, operational impact, intentional deviations, and limitations without including secrets, credentials, internal database URLs, or placeholder text.")</f>
        <v>After each child, follow this release-notes rule: create for the first child and update cumulatively for every later child. Update docs/releases/0.0.1.md only after inspecting the actual diff and validation evidence. Preserve valid notes from earlier children and maintain the required Highlights, Fixes/Changes, Validation, Deployment/Migrations, Rollback, and Known Limitations sections. Document shipped behavior, operational impact, intentional deviations, and limitations without including secrets, credentials, internal database URLs, or placeholder text.</v>
      </c>
    </row>
    <row r="10" spans="1:4" ht="33.75" x14ac:dyDescent="0.25">
      <c r="A10" s="20">
        <v>9</v>
      </c>
      <c r="B10" s="12" t="s">
        <v>6</v>
      </c>
      <c r="C10" s="5"/>
      <c r="D10" s="24" t="s">
        <v>18</v>
      </c>
    </row>
    <row r="11" spans="1:4" ht="33.75" x14ac:dyDescent="0.25">
      <c r="A11" s="20">
        <v>10</v>
      </c>
      <c r="B11" s="14" t="s">
        <v>7</v>
      </c>
      <c r="C11" s="5"/>
      <c r="D11" s="24" t="s">
        <v>19</v>
      </c>
    </row>
    <row r="12" spans="1:4" ht="22.5" x14ac:dyDescent="0.25">
      <c r="A12" s="20">
        <v>11</v>
      </c>
      <c r="B12" s="15" t="s">
        <v>7</v>
      </c>
      <c r="C12" s="5"/>
      <c r="D12" s="25" t="s">
        <v>24</v>
      </c>
    </row>
    <row r="13" spans="1:4" ht="33.75" x14ac:dyDescent="0.25">
      <c r="A13" s="20">
        <v>12</v>
      </c>
      <c r="B13" s="15" t="s">
        <v>8</v>
      </c>
      <c r="C13" s="5"/>
      <c r="D13" s="25" t="s">
        <v>25</v>
      </c>
    </row>
    <row r="14" spans="1:4" ht="23.25" thickBot="1" x14ac:dyDescent="0.3">
      <c r="A14" s="20">
        <v>13</v>
      </c>
      <c r="B14" s="16" t="s">
        <v>9</v>
      </c>
      <c r="C14" s="5"/>
      <c r="D14" s="23" t="str">
        <f>"After I approve the last selected child in the current delivery slice, begin a separate release-integration phase. Re-read the milestone, parent, every child in this slice, complete branch diff, authoritative version, docs/releases/"&amp;Release&amp;_xlfn._LONGTEXT(".md, migrations, container definitions, environment configuration, and validation and deployment workflows. Confirm that every selected acceptance criterion works together and that no child regressed another. Run the full validation against a fresh isolat","ed database, build the release container, deploy the exact final branch commit to development, perform complete development smoke and integration testing, and exercise the documented non-production rollback where applicable.")</f>
        <v>After I approve the last selected child in the current delivery slice, begin a separate release-integration phase. Re-read the milestone, parent, every child in this slice, complete branch diff, authoritative version, docs/releases/0.0.1.md, migrations, container definitions, environment configuration, and validation and deployment workflows. Confirm that every selected acceptance criterion works together and that no child regressed another. Run the full validation against a fresh isolated database, build the release container, deploy the exact final branch commit to development, perform complete development smoke and integration testing, and exercise the documented non-production rollback where applicable.</v>
      </c>
    </row>
    <row r="15" spans="1:4" ht="33.75" x14ac:dyDescent="0.25">
      <c r="A15" s="20">
        <v>14</v>
      </c>
      <c r="B15" s="17"/>
      <c r="D15" s="25" t="s">
        <v>20</v>
      </c>
    </row>
    <row r="16" spans="1:4" x14ac:dyDescent="0.25">
      <c r="A16" s="20">
        <v>15</v>
      </c>
      <c r="B16" s="18"/>
      <c r="D16" s="23" t="str">
        <f>IF(UPPER(Promote)="Y","Only after I explicitly approve production and the exact main commit has passed test: verify production backup and rollback prerequisites, confirm the authoritative version and docs/releases/"&amp;Release&amp;".md match "&amp;Release&amp;", create the annotated tag prod-v"&amp;Release&amp;" on that exact tested main commit, and push only that tag. Never tag the feature branch or an untested commit. Verify deploy-prod.yml succeeds, production reports version "&amp;Release&amp;" and the tagged commit, production smoke tests pass, and the GitHub Release uses the curated notes. Report the tag, deployment result, release URL, validation evidence, and rollback status.","Do not create a production tag or deploy production. Stop after the successful test handoff and record that version "&amp;Release&amp;" is tested but not shipped.")</f>
        <v>Do not create a production tag or deploy production. Stop after the successful test handoff and record that version 0.0.1 is tested but not shipped.</v>
      </c>
    </row>
    <row r="17" spans="1:4" ht="33.75" x14ac:dyDescent="0.25">
      <c r="A17" s="20"/>
      <c r="B17" s="18"/>
      <c r="D17" s="25" t="s">
        <v>26</v>
      </c>
    </row>
    <row r="18" spans="1:4" x14ac:dyDescent="0.25">
      <c r="A18" s="20"/>
      <c r="B18" s="18"/>
    </row>
    <row r="19" spans="1:4" x14ac:dyDescent="0.25">
      <c r="A19" s="20"/>
      <c r="B19" s="18"/>
    </row>
    <row r="20" spans="1:4" x14ac:dyDescent="0.25">
      <c r="A20" s="20"/>
      <c r="B20" s="18"/>
    </row>
    <row r="21" spans="1:4" x14ac:dyDescent="0.25">
      <c r="A21" s="20"/>
      <c r="B21" s="18"/>
    </row>
    <row r="22" spans="1:4" x14ac:dyDescent="0.25">
      <c r="A22" s="20"/>
      <c r="B22" s="18"/>
    </row>
    <row r="23" spans="1:4" x14ac:dyDescent="0.25">
      <c r="A23" s="20"/>
      <c r="B23" s="18"/>
    </row>
    <row r="24" spans="1:4" x14ac:dyDescent="0.25">
      <c r="A24" s="20"/>
      <c r="B24" s="18"/>
    </row>
    <row r="25" spans="1:4" x14ac:dyDescent="0.25">
      <c r="A25" s="20"/>
      <c r="B25" s="18"/>
    </row>
    <row r="26" spans="1:4" x14ac:dyDescent="0.25">
      <c r="A26" s="20"/>
      <c r="B26" s="18"/>
    </row>
    <row r="27" spans="1:4" x14ac:dyDescent="0.25">
      <c r="A27" s="20"/>
      <c r="B27" s="18"/>
    </row>
    <row r="28" spans="1:4" ht="15.75" thickBot="1" x14ac:dyDescent="0.3">
      <c r="A28" s="21"/>
      <c r="B28" s="18"/>
    </row>
    <row r="29" spans="1:4" x14ac:dyDescent="0.25">
      <c r="A29" s="22" t="str">
        <f>_xlfn.TEXTJOIN(", #",TRUE,Child_Issues)</f>
        <v>4, #5, #6, #7, #8, #9, #10, #11, #12, #13, #14, #15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vt:i4>
      </vt:variant>
    </vt:vector>
  </HeadingPairs>
  <TitlesOfParts>
    <vt:vector size="9" baseType="lpstr">
      <vt:lpstr>Sheet1</vt:lpstr>
      <vt:lpstr>Child_Issue</vt:lpstr>
      <vt:lpstr>Child_Issues</vt:lpstr>
      <vt:lpstr>Feature_Branch</vt:lpstr>
      <vt:lpstr>Parent_Issue</vt:lpstr>
      <vt:lpstr>Promote</vt:lpstr>
      <vt:lpstr>Release</vt:lpstr>
      <vt:lpstr>Release_Notes</vt:lpstr>
      <vt:lpstr>Release_Type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Morris</dc:creator>
  <cp:lastModifiedBy>Michael Morris</cp:lastModifiedBy>
  <dcterms:created xsi:type="dcterms:W3CDTF">2026-06-26T05:28:20Z</dcterms:created>
  <dcterms:modified xsi:type="dcterms:W3CDTF">2026-07-29T02:26:39Z</dcterms:modified>
</cp:coreProperties>
</file>